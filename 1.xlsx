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 tabRatio="598"/>
  </bookViews>
  <sheets>
    <sheet name="Data" sheetId="1" r:id="rId1"/>
  </sheets>
  <calcPr calcId="144525"/>
</workbook>
</file>

<file path=xl/calcChain.xml><?xml version="1.0" encoding="utf-8"?>
<calcChain xmlns="http://schemas.openxmlformats.org/spreadsheetml/2006/main">
  <c r="L11" i="1" l="1"/>
  <c r="L4" i="1" l="1"/>
  <c r="L5" i="1"/>
  <c r="L6" i="1"/>
  <c r="L7" i="1"/>
  <c r="L8" i="1"/>
  <c r="L9" i="1"/>
  <c r="L10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<sst xmlns="http://schemas.openxmlformats.org/spreadsheetml/2006/main" count="55" uniqueCount="39">
  <si>
    <t>ID</t>
  </si>
  <si>
    <t>TASK</t>
  </si>
  <si>
    <t>START</t>
  </si>
  <si>
    <t>DURATION</t>
  </si>
  <si>
    <t>END</t>
  </si>
  <si>
    <t>MILESTONE</t>
  </si>
  <si>
    <t>RESOURCE</t>
  </si>
  <si>
    <t>RESOURCE TYPE</t>
  </si>
  <si>
    <t>BASELINE START</t>
  </si>
  <si>
    <t>BASELINE DURATION</t>
  </si>
  <si>
    <t>BASELINE END</t>
  </si>
  <si>
    <t>PREDECESSORS</t>
  </si>
  <si>
    <t>Project Kickoff &amp; Requirement Gathering</t>
  </si>
  <si>
    <t>Design (UI/UX)</t>
  </si>
  <si>
    <t>Setup Development Environment</t>
  </si>
  <si>
    <t>Frontend Implementation</t>
  </si>
  <si>
    <t>Backend Implementation</t>
  </si>
  <si>
    <t>Integration &amp; Testing</t>
  </si>
  <si>
    <t>User Acceptance Testing (UAT)</t>
  </si>
  <si>
    <t>Project Handover (Milestone)</t>
  </si>
  <si>
    <t>2025-11-10</t>
  </si>
  <si>
    <t>2025-11-13</t>
  </si>
  <si>
    <t>2025-11-18</t>
  </si>
  <si>
    <t>2025-11-25</t>
  </si>
  <si>
    <t>2025-12-01</t>
  </si>
  <si>
    <t>2025-12-04</t>
  </si>
  <si>
    <t>2,3</t>
  </si>
  <si>
    <t>4,5</t>
  </si>
  <si>
    <t>No</t>
  </si>
  <si>
    <t>Yes</t>
  </si>
  <si>
    <t>Team Lead</t>
  </si>
  <si>
    <t>Designer</t>
  </si>
  <si>
    <t>DevOps</t>
  </si>
  <si>
    <t>Frontend Dev</t>
  </si>
  <si>
    <t>Backend Dev</t>
  </si>
  <si>
    <t>QA Team</t>
  </si>
  <si>
    <t>Client</t>
  </si>
  <si>
    <t>Work</t>
  </si>
  <si>
    <t>WEBSITE DEVELOPMENT (Start Date - 10 Nov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</si>
</sst>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164" fontId="0" fillId="0" borderId="0" xfId="0" applyNumberFormat="1"/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64" formatCode="[$-14009]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819314582205396E-2"/>
          <c:y val="2.6607342635325798E-2"/>
          <c:w val="0.85238694602951215"/>
          <c:h val="0.87618756583168711"/>
        </c:manualLayout>
      </c:layout>
      <c:barChart>
        <c:barDir val="bar"/>
        <c:grouping val="stacked"/>
        <c:varyColors val="0"/>
        <c:ser>
          <c:idx val="0"/>
          <c:order val="0"/>
          <c:tx>
            <c:v>START</c:v>
          </c:tx>
          <c:spPr>
            <a:noFill/>
          </c:spPr>
          <c:invertIfNegative val="0"/>
          <c:cat>
            <c:strRef>
              <c:f>Data!$B$4:$B$12</c:f>
              <c:strCache>
                <c:ptCount val="8"/>
                <c:pt idx="0">
                  <c:v>Project Kickoff &amp; Requirement Gathering</c:v>
                </c:pt>
                <c:pt idx="1">
                  <c:v>Design (UI/UX)</c:v>
                </c:pt>
                <c:pt idx="2">
                  <c:v>Setup Development Environment</c:v>
                </c:pt>
                <c:pt idx="3">
                  <c:v>Frontend Implementation</c:v>
                </c:pt>
                <c:pt idx="4">
                  <c:v>Backend Implementation</c:v>
                </c:pt>
                <c:pt idx="5">
                  <c:v>Integration &amp; Testing</c:v>
                </c:pt>
                <c:pt idx="6">
                  <c:v>User Acceptance Testing (UAT)</c:v>
                </c:pt>
                <c:pt idx="7">
                  <c:v>Project Handover (Milestone)</c:v>
                </c:pt>
              </c:strCache>
            </c:strRef>
          </c:cat>
          <c:val>
            <c:numRef>
              <c:f>Data!$C$4:$C$12</c:f>
              <c:numCache>
                <c:formatCode>[$-14009]dd/mm/yyyy;@</c:formatCode>
                <c:ptCount val="9"/>
                <c:pt idx="0">
                  <c:v>45971</c:v>
                </c:pt>
                <c:pt idx="1">
                  <c:v>45974</c:v>
                </c:pt>
                <c:pt idx="2">
                  <c:v>45974</c:v>
                </c:pt>
                <c:pt idx="3">
                  <c:v>45979</c:v>
                </c:pt>
                <c:pt idx="4">
                  <c:v>45979</c:v>
                </c:pt>
                <c:pt idx="5">
                  <c:v>45986</c:v>
                </c:pt>
                <c:pt idx="6">
                  <c:v>45992</c:v>
                </c:pt>
                <c:pt idx="7">
                  <c:v>45995</c:v>
                </c:pt>
              </c:numCache>
            </c:numRef>
          </c:val>
        </c:ser>
        <c:ser>
          <c:idx val="1"/>
          <c:order val="1"/>
          <c:tx>
            <c:v>DURATION</c:v>
          </c:tx>
          <c:invertIfNegative val="0"/>
          <c:cat>
            <c:strRef>
              <c:f>Data!$B$4:$B$12</c:f>
              <c:strCache>
                <c:ptCount val="8"/>
                <c:pt idx="0">
                  <c:v>Project Kickoff &amp; Requirement Gathering</c:v>
                </c:pt>
                <c:pt idx="1">
                  <c:v>Design (UI/UX)</c:v>
                </c:pt>
                <c:pt idx="2">
                  <c:v>Setup Development Environment</c:v>
                </c:pt>
                <c:pt idx="3">
                  <c:v>Frontend Implementation</c:v>
                </c:pt>
                <c:pt idx="4">
                  <c:v>Backend Implementation</c:v>
                </c:pt>
                <c:pt idx="5">
                  <c:v>Integration &amp; Testing</c:v>
                </c:pt>
                <c:pt idx="6">
                  <c:v>User Acceptance Testing (UAT)</c:v>
                </c:pt>
                <c:pt idx="7">
                  <c:v>Project Handover (Milestone)</c:v>
                </c:pt>
              </c:strCache>
            </c:strRef>
          </c:cat>
          <c:val>
            <c:numRef>
              <c:f>Data!$D$4:$D$12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70304"/>
        <c:axId val="43572608"/>
      </c:barChart>
      <c:catAx>
        <c:axId val="43570304"/>
        <c:scaling>
          <c:orientation val="maxMin"/>
        </c:scaling>
        <c:delete val="0"/>
        <c:axPos val="l"/>
        <c:majorTickMark val="out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1050" b="1" i="1">
                <a:solidFill>
                  <a:sysClr val="windowText" lastClr="000000"/>
                </a:solidFill>
              </a:defRPr>
            </a:pPr>
            <a:endParaRPr lang="en-US"/>
          </a:p>
        </c:txPr>
        <c:crossAx val="43572608"/>
        <c:crosses val="autoZero"/>
        <c:auto val="1"/>
        <c:lblAlgn val="ctr"/>
        <c:lblOffset val="100"/>
        <c:noMultiLvlLbl val="0"/>
      </c:catAx>
      <c:valAx>
        <c:axId val="43572608"/>
        <c:scaling>
          <c:orientation val="minMax"/>
        </c:scaling>
        <c:delete val="0"/>
        <c:axPos val="t"/>
        <c:majorGridlines/>
        <c:numFmt formatCode="[$-14009]dd/mm/yyyy;@" sourceLinked="1"/>
        <c:majorTickMark val="out"/>
        <c:minorTickMark val="none"/>
        <c:tickLblPos val="nextTo"/>
        <c:crossAx val="43570304"/>
        <c:crosses val="autoZero"/>
        <c:crossBetween val="between"/>
        <c:minorUnit val="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1426882</xdr:colOff>
      <xdr:row>11</xdr:row>
      <xdr:rowOff>52294</xdr:rowOff>
    </xdr:from>
    <xdr:to>
      <xdr:col>13</xdr:col>
      <xdr:colOff>82176</xdr:colOff>
      <xdr:row>37</xdr:row>
      <xdr:rowOff>29882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0.45259</cdr:x>
      <cdr:y>0.11747</cdr:y>
    </cdr:from>
    <cdr:to>
      <cdr:x>0.48953</cdr:x>
      <cdr:y>0.17774</cdr:y>
    </cdr:to>
    <cdr:cxnSp macro="">
      <cdr:nvCxnSpPr>
        <cdr:cNvPr id="3" name="Curved Connector 2"/>
        <cdr:cNvCxnSpPr/>
      </cdr:nvCxnSpPr>
      <cdr:spPr>
        <a:xfrm xmlns:a="http://schemas.openxmlformats.org/drawingml/2006/main">
          <a:off x="6133353" y="567765"/>
          <a:ext cx="500529" cy="291353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0.44432</cdr:x>
      <cdr:y>0.12365</cdr:y>
    </cdr:from>
    <cdr:to>
      <cdr:x>0.48401</cdr:x>
      <cdr:y>0.27666</cdr:y>
    </cdr:to>
    <cdr:cxnSp macro="">
      <cdr:nvCxnSpPr>
        <cdr:cNvPr id="8" name="Curved Connector 7"/>
        <cdr:cNvCxnSpPr/>
      </cdr:nvCxnSpPr>
      <cdr:spPr>
        <a:xfrm xmlns:a="http://schemas.openxmlformats.org/drawingml/2006/main" rot="16200000" flipH="1">
          <a:off x="6021294" y="597647"/>
          <a:ext cx="537882" cy="739589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0.56064</cdr:x>
      <cdr:y>0.21484</cdr:y>
    </cdr:from>
    <cdr:to>
      <cdr:x>0.58269</cdr:x>
      <cdr:y>0.36785</cdr:y>
    </cdr:to>
    <cdr:cxnSp macro="">
      <cdr:nvCxnSpPr>
        <cdr:cNvPr id="10" name="Curved Connector 9"/>
        <cdr:cNvCxnSpPr/>
      </cdr:nvCxnSpPr>
      <cdr:spPr>
        <a:xfrm xmlns:a="http://schemas.openxmlformats.org/drawingml/2006/main" rot="16200000" flipH="1">
          <a:off x="7597588" y="1038411"/>
          <a:ext cx="298824" cy="739589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0.50276</cdr:x>
      <cdr:y>0.31685</cdr:y>
    </cdr:from>
    <cdr:to>
      <cdr:x>0.57001</cdr:x>
      <cdr:y>0.37249</cdr:y>
    </cdr:to>
    <cdr:cxnSp macro="">
      <cdr:nvCxnSpPr>
        <cdr:cNvPr id="12" name="Curved Connector 11"/>
        <cdr:cNvCxnSpPr/>
      </cdr:nvCxnSpPr>
      <cdr:spPr>
        <a:xfrm xmlns:a="http://schemas.openxmlformats.org/drawingml/2006/main">
          <a:off x="6813176" y="1531471"/>
          <a:ext cx="911412" cy="268941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0.49228</cdr:x>
      <cdr:y>0.31376</cdr:y>
    </cdr:from>
    <cdr:to>
      <cdr:x>0.56836</cdr:x>
      <cdr:y>0.48377</cdr:y>
    </cdr:to>
    <cdr:cxnSp macro="">
      <cdr:nvCxnSpPr>
        <cdr:cNvPr id="14" name="Curved Connector 13"/>
        <cdr:cNvCxnSpPr/>
      </cdr:nvCxnSpPr>
      <cdr:spPr>
        <a:xfrm xmlns:a="http://schemas.openxmlformats.org/drawingml/2006/main">
          <a:off x="6671235" y="1516530"/>
          <a:ext cx="1030941" cy="821765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0.67916</cdr:x>
      <cdr:y>0.39104</cdr:y>
    </cdr:from>
    <cdr:to>
      <cdr:x>0.71444</cdr:x>
      <cdr:y>0.56414</cdr:y>
    </cdr:to>
    <cdr:cxnSp macro="">
      <cdr:nvCxnSpPr>
        <cdr:cNvPr id="16" name="Curved Connector 15"/>
        <cdr:cNvCxnSpPr/>
      </cdr:nvCxnSpPr>
      <cdr:spPr>
        <a:xfrm xmlns:a="http://schemas.openxmlformats.org/drawingml/2006/main" rot="16200000" flipH="1">
          <a:off x="9203764" y="1890058"/>
          <a:ext cx="478118" cy="836707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0.64057</cdr:x>
      <cdr:y>0.51159</cdr:y>
    </cdr:from>
    <cdr:to>
      <cdr:x>0.69956</cdr:x>
      <cdr:y>0.56569</cdr:y>
    </cdr:to>
    <cdr:cxnSp macro="">
      <cdr:nvCxnSpPr>
        <cdr:cNvPr id="18" name="Curved Connector 17"/>
        <cdr:cNvCxnSpPr/>
      </cdr:nvCxnSpPr>
      <cdr:spPr>
        <a:xfrm xmlns:a="http://schemas.openxmlformats.org/drawingml/2006/main">
          <a:off x="8680823" y="2472765"/>
          <a:ext cx="799353" cy="261471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0.75138</cdr:x>
      <cdr:y>0.60896</cdr:y>
    </cdr:from>
    <cdr:to>
      <cdr:x>0.8032</cdr:x>
      <cdr:y>0.65842</cdr:y>
    </cdr:to>
    <cdr:cxnSp macro="">
      <cdr:nvCxnSpPr>
        <cdr:cNvPr id="20" name="Curved Connector 19"/>
        <cdr:cNvCxnSpPr/>
      </cdr:nvCxnSpPr>
      <cdr:spPr>
        <a:xfrm xmlns:a="http://schemas.openxmlformats.org/drawingml/2006/main">
          <a:off x="10182412" y="2943412"/>
          <a:ext cx="702235" cy="239059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0.78335</cdr:x>
      <cdr:y>0.70325</cdr:y>
    </cdr:from>
    <cdr:to>
      <cdr:x>0.81588</cdr:x>
      <cdr:y>0.76043</cdr:y>
    </cdr:to>
    <cdr:cxnSp macro="">
      <cdr:nvCxnSpPr>
        <cdr:cNvPr id="22" name="Curved Connector 21"/>
        <cdr:cNvCxnSpPr/>
      </cdr:nvCxnSpPr>
      <cdr:spPr>
        <a:xfrm xmlns:a="http://schemas.openxmlformats.org/drawingml/2006/main">
          <a:off x="10615706" y="3399118"/>
          <a:ext cx="440765" cy="276412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0.81312</cdr:x>
      <cdr:y>0.75889</cdr:y>
    </cdr:from>
    <cdr:to>
      <cdr:x>0.82635</cdr:x>
      <cdr:y>0.80216</cdr:y>
    </cdr:to>
    <cdr:sp macro="" textlink="">
      <cdr:nvSpPr>
        <cdr:cNvPr id="23" name="Diamond 22"/>
        <cdr:cNvSpPr/>
      </cdr:nvSpPr>
      <cdr:spPr>
        <a:xfrm xmlns:a="http://schemas.openxmlformats.org/drawingml/2006/main">
          <a:off x="11019118" y="3668060"/>
          <a:ext cx="179294" cy="209176"/>
        </a:xfrm>
        <a:prstGeom xmlns:a="http://schemas.openxmlformats.org/drawingml/2006/main" prst="diamond">
          <a:avLst/>
        </a:prstGeom>
        <a:ln xmlns:a="http://schemas.openxmlformats.org/drawingml/2006/main">
          <a:solidFill>
            <a:schemeClr val="tx2"/>
          </a:solidFill>
        </a:ln>
      </cdr:spPr>
      <cdr:style>
        <a:lnRef xmlns:a="http://schemas.openxmlformats.org/drawingml/2006/main" idx="2">
          <a:schemeClr val="accent6">
            <a:shade val="50000"/>
          </a:schemeClr>
        </a:lnRef>
        <a:fillRef xmlns:a="http://schemas.openxmlformats.org/drawingml/2006/main" idx="1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ables/table1.xml><?xml version="1.0" encoding="utf-8"?>
<table xmlns="http://schemas.openxmlformats.org/spreadsheetml/2006/main" id="1" name="ProjectPlan" displayName="ProjectPlan" ref="A3:L11" totalsRowShown="0" headerRowDxfId="3">
  <autoFilter ref="A3:L11"/>
  <tableColumns count="12">
    <tableColumn id="1" name="ID"/>
    <tableColumn id="2" name="TASK"/>
    <tableColumn id="3" name="START" dataDxfId="2"/>
    <tableColumn id="4" name="DURATION"/>
    <tableColumn id="5" name="END" dataDxfId="1">
      <calculatedColumnFormula>WORKDAY(C4, D4-1)</calculatedColumnFormula>
    </tableColumn>
    <tableColumn id="6" name="PREDECESSORS"/>
    <tableColumn id="7" name="MILESTONE"/>
    <tableColumn id="8" name="RESOURCE"/>
    <tableColumn id="9" name="RESOURCE TYPE"/>
    <tableColumn id="10" name="BASELINE START"/>
    <tableColumn id="11" name="BASELINE DURATION"/>
    <tableColumn id="12" name="BASELINE END" dataDxfId="0">
      <calculatedColumnFormula>J4 + K4 - 1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zoomScale="85" zoomScaleNormal="85" workbookViewId="0">
      <selection activeCell="J40" sqref="J40"/>
    </sheetView>
  </sheetViews>
  <sheetFormatPr defaultRowHeight="14.5" x14ac:dyDescent="0.35"/>
  <cols>
    <col min="1" max="1" width="7.36328125" customWidth="1"/>
    <col min="2" max="2" width="35.08984375" customWidth="1"/>
    <col min="3" max="3" width="11.6328125" style="6" customWidth="1"/>
    <col min="4" max="4" width="14.6328125" customWidth="1"/>
    <col min="5" max="5" width="11.26953125" customWidth="1"/>
    <col min="6" max="6" width="18.26953125" customWidth="1"/>
    <col min="7" max="7" width="17" customWidth="1"/>
    <col min="8" max="8" width="14.1796875" customWidth="1"/>
    <col min="9" max="9" width="19.6328125" customWidth="1"/>
    <col min="10" max="10" width="19.54296875" customWidth="1"/>
    <col min="11" max="11" width="24" customWidth="1"/>
    <col min="12" max="12" width="19.1796875" customWidth="1"/>
  </cols>
  <sheetData>
    <row r="1" spans="1:12" ht="15.5" x14ac:dyDescent="0.35">
      <c r="D1" s="5" t="s">
        <v>38</v>
      </c>
    </row>
    <row r="3" spans="1:12" x14ac:dyDescent="0.35">
      <c r="A3" s="1" t="s">
        <v>0</v>
      </c>
      <c r="B3" s="1" t="s">
        <v>1</v>
      </c>
      <c r="C3" s="7" t="s">
        <v>2</v>
      </c>
      <c r="D3" s="1" t="s">
        <v>3</v>
      </c>
      <c r="E3" s="2" t="s">
        <v>4</v>
      </c>
      <c r="F3" s="1" t="s">
        <v>11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2" t="s">
        <v>10</v>
      </c>
    </row>
    <row r="4" spans="1:12" x14ac:dyDescent="0.35">
      <c r="A4">
        <v>1</v>
      </c>
      <c r="B4" t="s">
        <v>12</v>
      </c>
      <c r="C4" s="6">
        <v>45971</v>
      </c>
      <c r="D4">
        <v>3</v>
      </c>
      <c r="E4" s="3">
        <f t="shared" ref="E4:E11" si="0">WORKDAY(C4, D4-1)</f>
        <v>45973</v>
      </c>
      <c r="G4" t="s">
        <v>28</v>
      </c>
      <c r="H4" t="s">
        <v>30</v>
      </c>
      <c r="I4" t="s">
        <v>37</v>
      </c>
      <c r="J4" t="s">
        <v>20</v>
      </c>
      <c r="K4">
        <v>3</v>
      </c>
      <c r="L4" s="3">
        <f t="shared" ref="L4:L11" si="1">J4 + K4 - 1</f>
        <v>45973</v>
      </c>
    </row>
    <row r="5" spans="1:12" x14ac:dyDescent="0.35">
      <c r="A5">
        <v>2</v>
      </c>
      <c r="B5" t="s">
        <v>13</v>
      </c>
      <c r="C5" s="6">
        <v>45974</v>
      </c>
      <c r="D5">
        <v>5</v>
      </c>
      <c r="E5" s="3">
        <f t="shared" si="0"/>
        <v>45980</v>
      </c>
      <c r="F5">
        <v>1</v>
      </c>
      <c r="G5" t="s">
        <v>28</v>
      </c>
      <c r="H5" t="s">
        <v>31</v>
      </c>
      <c r="I5" t="s">
        <v>37</v>
      </c>
      <c r="J5" t="s">
        <v>21</v>
      </c>
      <c r="K5">
        <v>5</v>
      </c>
      <c r="L5" s="3">
        <f t="shared" si="1"/>
        <v>45978</v>
      </c>
    </row>
    <row r="6" spans="1:12" x14ac:dyDescent="0.35">
      <c r="A6">
        <v>3</v>
      </c>
      <c r="B6" t="s">
        <v>14</v>
      </c>
      <c r="C6" s="6">
        <v>45974</v>
      </c>
      <c r="D6">
        <v>2</v>
      </c>
      <c r="E6" s="3">
        <f t="shared" si="0"/>
        <v>45975</v>
      </c>
      <c r="F6">
        <v>1</v>
      </c>
      <c r="G6" t="s">
        <v>28</v>
      </c>
      <c r="H6" t="s">
        <v>32</v>
      </c>
      <c r="I6" t="s">
        <v>37</v>
      </c>
      <c r="J6" t="s">
        <v>21</v>
      </c>
      <c r="K6">
        <v>2</v>
      </c>
      <c r="L6" s="3">
        <f t="shared" si="1"/>
        <v>45975</v>
      </c>
    </row>
    <row r="7" spans="1:12" x14ac:dyDescent="0.35">
      <c r="A7">
        <v>4</v>
      </c>
      <c r="B7" t="s">
        <v>15</v>
      </c>
      <c r="C7" s="6">
        <v>45979</v>
      </c>
      <c r="D7">
        <v>7</v>
      </c>
      <c r="E7" s="3">
        <f t="shared" si="0"/>
        <v>45987</v>
      </c>
      <c r="F7" s="4" t="s">
        <v>26</v>
      </c>
      <c r="G7" t="s">
        <v>28</v>
      </c>
      <c r="H7" t="s">
        <v>33</v>
      </c>
      <c r="I7" t="s">
        <v>37</v>
      </c>
      <c r="J7" t="s">
        <v>22</v>
      </c>
      <c r="K7">
        <v>7</v>
      </c>
      <c r="L7" s="3">
        <f t="shared" si="1"/>
        <v>45985</v>
      </c>
    </row>
    <row r="8" spans="1:12" x14ac:dyDescent="0.35">
      <c r="A8">
        <v>5</v>
      </c>
      <c r="B8" t="s">
        <v>16</v>
      </c>
      <c r="C8" s="6">
        <v>45979</v>
      </c>
      <c r="D8">
        <v>7</v>
      </c>
      <c r="E8" s="3">
        <f t="shared" si="0"/>
        <v>45987</v>
      </c>
      <c r="F8">
        <v>3</v>
      </c>
      <c r="G8" t="s">
        <v>28</v>
      </c>
      <c r="H8" t="s">
        <v>34</v>
      </c>
      <c r="I8" t="s">
        <v>37</v>
      </c>
      <c r="J8" t="s">
        <v>22</v>
      </c>
      <c r="K8">
        <v>7</v>
      </c>
      <c r="L8" s="3">
        <f t="shared" si="1"/>
        <v>45985</v>
      </c>
    </row>
    <row r="9" spans="1:12" x14ac:dyDescent="0.35">
      <c r="A9">
        <v>6</v>
      </c>
      <c r="B9" t="s">
        <v>17</v>
      </c>
      <c r="C9" s="6">
        <v>45986</v>
      </c>
      <c r="D9">
        <v>5</v>
      </c>
      <c r="E9" s="3">
        <f t="shared" si="0"/>
        <v>45992</v>
      </c>
      <c r="F9" s="4" t="s">
        <v>27</v>
      </c>
      <c r="G9" t="s">
        <v>28</v>
      </c>
      <c r="H9" t="s">
        <v>35</v>
      </c>
      <c r="I9" t="s">
        <v>37</v>
      </c>
      <c r="J9" t="s">
        <v>23</v>
      </c>
      <c r="K9">
        <v>5</v>
      </c>
      <c r="L9" s="3">
        <f t="shared" si="1"/>
        <v>45990</v>
      </c>
    </row>
    <row r="10" spans="1:12" x14ac:dyDescent="0.35">
      <c r="A10">
        <v>7</v>
      </c>
      <c r="B10" t="s">
        <v>18</v>
      </c>
      <c r="C10" s="6">
        <v>45992</v>
      </c>
      <c r="D10">
        <v>3</v>
      </c>
      <c r="E10" s="3">
        <f t="shared" si="0"/>
        <v>45994</v>
      </c>
      <c r="F10">
        <v>6</v>
      </c>
      <c r="G10" t="s">
        <v>28</v>
      </c>
      <c r="H10" t="s">
        <v>36</v>
      </c>
      <c r="I10" t="s">
        <v>37</v>
      </c>
      <c r="J10" t="s">
        <v>24</v>
      </c>
      <c r="K10">
        <v>3</v>
      </c>
      <c r="L10" s="3">
        <f t="shared" si="1"/>
        <v>45994</v>
      </c>
    </row>
    <row r="11" spans="1:12" x14ac:dyDescent="0.35">
      <c r="A11">
        <v>8</v>
      </c>
      <c r="B11" t="s">
        <v>19</v>
      </c>
      <c r="C11" s="6">
        <v>45995</v>
      </c>
      <c r="D11">
        <v>0</v>
      </c>
      <c r="E11" s="3">
        <f t="shared" si="0"/>
        <v>45994</v>
      </c>
      <c r="F11">
        <v>7</v>
      </c>
      <c r="G11" t="s">
        <v>29</v>
      </c>
      <c r="H11" t="s">
        <v>30</v>
      </c>
      <c r="I11" t="s">
        <v>37</v>
      </c>
      <c r="J11" t="s">
        <v>25</v>
      </c>
      <c r="K11">
        <v>0</v>
      </c>
      <c r="L11" s="3">
        <f t="shared" si="1"/>
        <v>45994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Thorat</dc:creator>
  <cp:lastModifiedBy>Siddhi Thorat</cp:lastModifiedBy>
  <dcterms:created xsi:type="dcterms:W3CDTF">2025-11-09T10:10:53Z</dcterms:created>
  <dcterms:modified xsi:type="dcterms:W3CDTF">2025-11-09T15:44:58Z</dcterms:modified>
</cp:coreProperties>
</file>